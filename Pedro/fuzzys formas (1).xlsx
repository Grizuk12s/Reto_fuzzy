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7486B44-EF4A-499A-BA4B-4D0FD1237073}" xr6:coauthVersionLast="47" xr6:coauthVersionMax="47" xr10:uidLastSave="{00000000-0000-0000-0000-000000000000}"/>
  <bookViews>
    <workbookView xWindow="-108" yWindow="-108" windowWidth="23256" windowHeight="13896" xr2:uid="{F0A95FCA-D53C-4B2D-A009-1EFF393DEB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K16" i="1"/>
  <c r="C37" i="1" s="1"/>
  <c r="K15" i="1"/>
  <c r="C36" i="1" s="1"/>
  <c r="K14" i="1"/>
  <c r="K13" i="1"/>
  <c r="K12" i="1"/>
  <c r="K11" i="1"/>
  <c r="K10" i="1"/>
  <c r="K9" i="1"/>
  <c r="C27" i="1"/>
  <c r="C26" i="1"/>
  <c r="C25" i="1"/>
  <c r="C24" i="1"/>
  <c r="C23" i="1"/>
  <c r="C22" i="1"/>
  <c r="C21" i="1"/>
  <c r="C20" i="1"/>
  <c r="E16" i="1"/>
  <c r="E15" i="1"/>
  <c r="E14" i="1"/>
  <c r="E13" i="1"/>
  <c r="E12" i="1"/>
  <c r="E11" i="1"/>
  <c r="E9" i="1"/>
  <c r="E10" i="1"/>
</calcChain>
</file>

<file path=xl/sharedStrings.xml><?xml version="1.0" encoding="utf-8"?>
<sst xmlns="http://schemas.openxmlformats.org/spreadsheetml/2006/main" count="37" uniqueCount="25">
  <si>
    <t>high offset</t>
  </si>
  <si>
    <t>lmax-pv</t>
  </si>
  <si>
    <t>pv</t>
  </si>
  <si>
    <t>lmax</t>
  </si>
  <si>
    <t>high-offset</t>
  </si>
  <si>
    <t>Grado de pertenencia</t>
  </si>
  <si>
    <t>conjunto</t>
  </si>
  <si>
    <t>alto</t>
  </si>
  <si>
    <t>ok</t>
  </si>
  <si>
    <t>bajo</t>
  </si>
  <si>
    <t>low-offset</t>
  </si>
  <si>
    <t>pv-min</t>
  </si>
  <si>
    <t>max - pv</t>
  </si>
  <si>
    <t>lmin</t>
  </si>
  <si>
    <t>subiendo</t>
  </si>
  <si>
    <t>estable</t>
  </si>
  <si>
    <t>bajando</t>
  </si>
  <si>
    <t>Valor de pendiente</t>
  </si>
  <si>
    <t>Defuzzy</t>
  </si>
  <si>
    <t>Inc_rap</t>
  </si>
  <si>
    <t>inc</t>
  </si>
  <si>
    <t>dec</t>
  </si>
  <si>
    <t>dec-rap</t>
  </si>
  <si>
    <t>Belief</t>
  </si>
  <si>
    <t>sp nuevo = sp actual + step 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</si>
</sst>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Hoja1!$D$46</c:f>
              <c:strCache>
                <c:ptCount val="1"/>
                <c:pt idx="0">
                  <c:v>Inc_rap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Hoja1!$C$47:$C$49</c:f>
              <c:numCache>
                <c:formatCode>General</c:formatCode>
                <c:ptCount val="3"/>
                <c:pt idx="0">
                  <c:v>1</c:v>
                </c:pt>
                <c:pt idx="1">
                  <c:v>0.5</c:v>
                </c:pt>
                <c:pt idx="2">
                  <c:v>0</c:v>
                </c:pt>
              </c:numCache>
            </c:numRef>
          </c:xVal>
          <c:yVal>
            <c:numRef>
              <c:f>Hoja1!$D$47:$D$49</c:f>
              <c:numCache>
                <c:formatCode>General</c:formatCode>
                <c:ptCount val="3"/>
                <c:pt idx="0">
                  <c:v>50</c:v>
                </c:pt>
                <c:pt idx="1">
                  <c:v>25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AF-4D66-B3E4-9E6118D07A17}"/>
            </c:ext>
          </c:extLst>
        </c:ser>
        <c:ser>
          <c:idx val="1"/>
          <c:order val="1"/>
          <c:tx>
            <c:strRef>
              <c:f>Hoja1!$G$46</c:f>
              <c:strCache>
                <c:ptCount val="1"/>
                <c:pt idx="0">
                  <c:v>dec-rap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Hoja1!$C$47:$C$49</c:f>
              <c:numCache>
                <c:formatCode>General</c:formatCode>
                <c:ptCount val="3"/>
                <c:pt idx="0">
                  <c:v>1</c:v>
                </c:pt>
                <c:pt idx="1">
                  <c:v>0.5</c:v>
                </c:pt>
                <c:pt idx="2">
                  <c:v>0</c:v>
                </c:pt>
              </c:numCache>
            </c:numRef>
          </c:xVal>
          <c:yVal>
            <c:numRef>
              <c:f>Hoja1!$G$47:$G$49</c:f>
              <c:numCache>
                <c:formatCode>General</c:formatCode>
                <c:ptCount val="3"/>
                <c:pt idx="0">
                  <c:v>-50</c:v>
                </c:pt>
                <c:pt idx="1">
                  <c:v>-25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AF-4D66-B3E4-9E6118D07A17}"/>
            </c:ext>
          </c:extLst>
        </c:ser>
        <c:ser>
          <c:idx val="2"/>
          <c:order val="2"/>
          <c:tx>
            <c:strRef>
              <c:f>Hoja1!$E$46</c:f>
              <c:strCache>
                <c:ptCount val="1"/>
                <c:pt idx="0">
                  <c:v>inc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Hoja1!$C$47:$C$49</c:f>
              <c:numCache>
                <c:formatCode>General</c:formatCode>
                <c:ptCount val="3"/>
                <c:pt idx="0">
                  <c:v>1</c:v>
                </c:pt>
                <c:pt idx="1">
                  <c:v>0.5</c:v>
                </c:pt>
                <c:pt idx="2">
                  <c:v>0</c:v>
                </c:pt>
              </c:numCache>
            </c:numRef>
          </c:xVal>
          <c:yVal>
            <c:numRef>
              <c:f>Hoja1!$E$47:$E$49</c:f>
              <c:numCache>
                <c:formatCode>General</c:formatCode>
                <c:ptCount val="3"/>
                <c:pt idx="0">
                  <c:v>25</c:v>
                </c:pt>
                <c:pt idx="1">
                  <c:v>10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AF-4D66-B3E4-9E6118D07A17}"/>
            </c:ext>
          </c:extLst>
        </c:ser>
        <c:ser>
          <c:idx val="3"/>
          <c:order val="3"/>
          <c:tx>
            <c:strRef>
              <c:f>Hoja1!$F$46</c:f>
              <c:strCache>
                <c:ptCount val="1"/>
                <c:pt idx="0">
                  <c:v>dec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Hoja1!$C$47:$C$49</c:f>
              <c:numCache>
                <c:formatCode>General</c:formatCode>
                <c:ptCount val="3"/>
                <c:pt idx="0">
                  <c:v>1</c:v>
                </c:pt>
                <c:pt idx="1">
                  <c:v>0.5</c:v>
                </c:pt>
                <c:pt idx="2">
                  <c:v>0</c:v>
                </c:pt>
              </c:numCache>
            </c:numRef>
          </c:xVal>
          <c:yVal>
            <c:numRef>
              <c:f>Hoja1!$F$47:$F$49</c:f>
              <c:numCache>
                <c:formatCode>General</c:formatCode>
                <c:ptCount val="3"/>
                <c:pt idx="0">
                  <c:v>-25</c:v>
                </c:pt>
                <c:pt idx="1">
                  <c:v>-10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2AF-4D66-B3E4-9E6118D07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936944"/>
        <c:axId val="488937424"/>
      </c:scatterChart>
      <c:valAx>
        <c:axId val="488936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88937424"/>
        <c:crosses val="autoZero"/>
        <c:crossBetween val="midCat"/>
      </c:valAx>
      <c:valAx>
        <c:axId val="48893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88936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Hoja1!$D$29</c:f>
              <c:strCache>
                <c:ptCount val="1"/>
                <c:pt idx="0">
                  <c:v>alto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Hoja1!$C$30:$C$37</c:f>
              <c:numCache>
                <c:formatCode>General</c:formatCode>
                <c:ptCount val="8"/>
                <c:pt idx="0">
                  <c:v>100</c:v>
                </c:pt>
                <c:pt idx="1">
                  <c:v>80</c:v>
                </c:pt>
                <c:pt idx="2">
                  <c:v>60</c:v>
                </c:pt>
                <c:pt idx="3">
                  <c:v>40</c:v>
                </c:pt>
                <c:pt idx="4">
                  <c:v>20</c:v>
                </c:pt>
                <c:pt idx="5">
                  <c:v>10</c:v>
                </c:pt>
                <c:pt idx="6">
                  <c:v>0</c:v>
                </c:pt>
                <c:pt idx="7">
                  <c:v>-10</c:v>
                </c:pt>
              </c:numCache>
            </c:numRef>
          </c:xVal>
          <c:yVal>
            <c:numRef>
              <c:f>Hoja1!$D$30:$D$37</c:f>
              <c:numCache>
                <c:formatCode>General</c:formatCode>
                <c:ptCount val="8"/>
                <c:pt idx="0">
                  <c:v>1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F4-415B-83EF-9E3196C02014}"/>
            </c:ext>
          </c:extLst>
        </c:ser>
        <c:ser>
          <c:idx val="1"/>
          <c:order val="1"/>
          <c:tx>
            <c:strRef>
              <c:f>Hoja1!$E$29</c:f>
              <c:strCache>
                <c:ptCount val="1"/>
                <c:pt idx="0">
                  <c:v>ok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Hoja1!$C$30:$C$37</c:f>
              <c:numCache>
                <c:formatCode>General</c:formatCode>
                <c:ptCount val="8"/>
                <c:pt idx="0">
                  <c:v>100</c:v>
                </c:pt>
                <c:pt idx="1">
                  <c:v>80</c:v>
                </c:pt>
                <c:pt idx="2">
                  <c:v>60</c:v>
                </c:pt>
                <c:pt idx="3">
                  <c:v>40</c:v>
                </c:pt>
                <c:pt idx="4">
                  <c:v>20</c:v>
                </c:pt>
                <c:pt idx="5">
                  <c:v>10</c:v>
                </c:pt>
                <c:pt idx="6">
                  <c:v>0</c:v>
                </c:pt>
                <c:pt idx="7">
                  <c:v>-10</c:v>
                </c:pt>
              </c:numCache>
            </c:numRef>
          </c:xVal>
          <c:yVal>
            <c:numRef>
              <c:f>Hoja1!$E$30:$E$37</c:f>
              <c:numCache>
                <c:formatCode>General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0.5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F4-415B-83EF-9E3196C02014}"/>
            </c:ext>
          </c:extLst>
        </c:ser>
        <c:ser>
          <c:idx val="2"/>
          <c:order val="2"/>
          <c:tx>
            <c:strRef>
              <c:f>Hoja1!$F$29</c:f>
              <c:strCache>
                <c:ptCount val="1"/>
                <c:pt idx="0">
                  <c:v>bajo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Hoja1!$C$30:$C$37</c:f>
              <c:numCache>
                <c:formatCode>General</c:formatCode>
                <c:ptCount val="8"/>
                <c:pt idx="0">
                  <c:v>100</c:v>
                </c:pt>
                <c:pt idx="1">
                  <c:v>80</c:v>
                </c:pt>
                <c:pt idx="2">
                  <c:v>60</c:v>
                </c:pt>
                <c:pt idx="3">
                  <c:v>40</c:v>
                </c:pt>
                <c:pt idx="4">
                  <c:v>20</c:v>
                </c:pt>
                <c:pt idx="5">
                  <c:v>10</c:v>
                </c:pt>
                <c:pt idx="6">
                  <c:v>0</c:v>
                </c:pt>
                <c:pt idx="7">
                  <c:v>-10</c:v>
                </c:pt>
              </c:numCache>
            </c:numRef>
          </c:xVal>
          <c:yVal>
            <c:numRef>
              <c:f>Hoja1!$F$30:$F$37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F4-415B-83EF-9E3196C02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090624"/>
        <c:axId val="399090144"/>
      </c:scatterChart>
      <c:valAx>
        <c:axId val="399090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low-offset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99090144"/>
        <c:crosses val="autoZero"/>
        <c:crossBetween val="midCat"/>
      </c:valAx>
      <c:valAx>
        <c:axId val="39909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Inferencia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9909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160020</xdr:colOff>
      <xdr:row>42</xdr:row>
      <xdr:rowOff>68580</xdr:rowOff>
    </xdr:from>
    <xdr:to>
      <xdr:col>12</xdr:col>
      <xdr:colOff>769620</xdr:colOff>
      <xdr:row>57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C6E9994-FA1E-DF6A-1E92-EFA51665B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91440</xdr:colOff>
      <xdr:row>26</xdr:row>
      <xdr:rowOff>114300</xdr:rowOff>
    </xdr:from>
    <xdr:to>
      <xdr:col>12</xdr:col>
      <xdr:colOff>701040</xdr:colOff>
      <xdr:row>41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1F4FE46-226C-6DCF-4C1E-E581FAA22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5EFAA-98BF-48D4-8C29-8ED86424A4DD}">
  <dimension ref="A6:M53"/>
  <sheetViews>
    <sheetView tabSelected="1" topLeftCell="A4" workbookViewId="0">
      <selection activeCell="O31" sqref="O31"/>
    </sheetView>
  </sheetViews>
  <sheetFormatPr baseColWidth="10" defaultRowHeight="14.4" x14ac:dyDescent="0.3"/>
  <cols>
    <col min="6" max="6" width="9.44140625" customWidth="1"/>
  </cols>
  <sheetData>
    <row r="6" spans="3:13" x14ac:dyDescent="0.3">
      <c r="D6" t="s">
        <v>0</v>
      </c>
      <c r="E6" t="s">
        <v>1</v>
      </c>
    </row>
    <row r="8" spans="3:13" x14ac:dyDescent="0.3">
      <c r="C8" s="1" t="s">
        <v>3</v>
      </c>
      <c r="D8" s="1" t="s">
        <v>2</v>
      </c>
      <c r="E8" s="1" t="s">
        <v>4</v>
      </c>
      <c r="F8" s="2" t="s">
        <v>5</v>
      </c>
      <c r="G8" s="3" t="s">
        <v>6</v>
      </c>
      <c r="I8" s="1" t="s">
        <v>2</v>
      </c>
      <c r="J8" s="1" t="s">
        <v>13</v>
      </c>
      <c r="K8" s="1" t="s">
        <v>10</v>
      </c>
      <c r="L8" s="2" t="s">
        <v>5</v>
      </c>
    </row>
    <row r="9" spans="3:13" x14ac:dyDescent="0.3">
      <c r="C9" s="1">
        <v>90</v>
      </c>
      <c r="D9" s="1">
        <v>100</v>
      </c>
      <c r="E9" s="1">
        <f t="shared" ref="E9" si="0">+C9-D9</f>
        <v>-10</v>
      </c>
      <c r="F9" s="1">
        <v>1</v>
      </c>
      <c r="G9" t="s">
        <v>7</v>
      </c>
      <c r="I9" s="1"/>
      <c r="J9" s="1">
        <v>30</v>
      </c>
      <c r="K9" s="1">
        <f t="shared" ref="K9" si="1">+I9-J9</f>
        <v>-30</v>
      </c>
      <c r="L9" s="1">
        <v>1</v>
      </c>
      <c r="M9" t="s">
        <v>7</v>
      </c>
    </row>
    <row r="10" spans="3:13" x14ac:dyDescent="0.3">
      <c r="C10" s="1">
        <v>90</v>
      </c>
      <c r="D10" s="1">
        <v>90</v>
      </c>
      <c r="E10" s="1">
        <f>+C10-D10</f>
        <v>0</v>
      </c>
      <c r="F10" s="1">
        <v>0.5</v>
      </c>
      <c r="G10" t="s">
        <v>7</v>
      </c>
      <c r="I10" s="1">
        <v>90</v>
      </c>
      <c r="J10" s="1">
        <v>30</v>
      </c>
      <c r="K10" s="1">
        <f>+I10-J10</f>
        <v>60</v>
      </c>
      <c r="L10" s="1">
        <v>0.5</v>
      </c>
    </row>
    <row r="11" spans="3:13" x14ac:dyDescent="0.3">
      <c r="C11" s="1">
        <v>90</v>
      </c>
      <c r="D11" s="1">
        <v>80</v>
      </c>
      <c r="E11" s="1">
        <f t="shared" ref="E11:E16" si="2">+C11-D11</f>
        <v>10</v>
      </c>
      <c r="F11" s="1">
        <v>0</v>
      </c>
      <c r="I11" s="1">
        <v>90</v>
      </c>
      <c r="J11" s="1">
        <v>30</v>
      </c>
      <c r="K11" s="1">
        <f t="shared" ref="K11:K16" si="3">+I11-J11</f>
        <v>60</v>
      </c>
      <c r="L11" s="1">
        <v>0</v>
      </c>
    </row>
    <row r="12" spans="3:13" x14ac:dyDescent="0.3">
      <c r="C12" s="1">
        <v>90</v>
      </c>
      <c r="D12" s="1">
        <v>70</v>
      </c>
      <c r="E12" s="1">
        <f t="shared" si="2"/>
        <v>20</v>
      </c>
      <c r="F12" s="1">
        <v>0.5</v>
      </c>
      <c r="I12" s="1">
        <v>90</v>
      </c>
      <c r="J12" s="1">
        <v>30</v>
      </c>
      <c r="K12" s="1">
        <f t="shared" si="3"/>
        <v>60</v>
      </c>
      <c r="L12" s="1">
        <v>0.5</v>
      </c>
    </row>
    <row r="13" spans="3:13" x14ac:dyDescent="0.3">
      <c r="C13" s="1">
        <v>90</v>
      </c>
      <c r="D13" s="1">
        <v>50</v>
      </c>
      <c r="E13" s="1">
        <f t="shared" si="2"/>
        <v>40</v>
      </c>
      <c r="F13" s="1">
        <v>1</v>
      </c>
      <c r="I13" s="1">
        <v>90</v>
      </c>
      <c r="J13" s="1">
        <v>30</v>
      </c>
      <c r="K13" s="1">
        <f t="shared" si="3"/>
        <v>60</v>
      </c>
      <c r="L13" s="1">
        <v>1</v>
      </c>
      <c r="M13" t="s">
        <v>8</v>
      </c>
    </row>
    <row r="14" spans="3:13" x14ac:dyDescent="0.3">
      <c r="C14" s="1">
        <v>90</v>
      </c>
      <c r="D14" s="1">
        <v>30</v>
      </c>
      <c r="E14" s="1">
        <f t="shared" si="2"/>
        <v>60</v>
      </c>
      <c r="F14" s="1">
        <v>0.5</v>
      </c>
      <c r="I14" s="1">
        <v>90</v>
      </c>
      <c r="J14" s="1">
        <v>30</v>
      </c>
      <c r="K14" s="1">
        <f t="shared" si="3"/>
        <v>60</v>
      </c>
      <c r="L14" s="1">
        <v>0.5</v>
      </c>
    </row>
    <row r="15" spans="3:13" x14ac:dyDescent="0.3">
      <c r="C15" s="1">
        <v>90</v>
      </c>
      <c r="D15" s="1">
        <v>20</v>
      </c>
      <c r="E15" s="1">
        <f t="shared" si="2"/>
        <v>70</v>
      </c>
      <c r="F15" s="1">
        <v>1</v>
      </c>
      <c r="I15" s="1">
        <v>30</v>
      </c>
      <c r="J15" s="1">
        <v>30</v>
      </c>
      <c r="K15" s="1">
        <f t="shared" si="3"/>
        <v>0</v>
      </c>
      <c r="L15" s="1">
        <v>1</v>
      </c>
      <c r="M15" t="s">
        <v>9</v>
      </c>
    </row>
    <row r="16" spans="3:13" x14ac:dyDescent="0.3">
      <c r="C16" s="1">
        <v>90</v>
      </c>
      <c r="D16" s="1">
        <v>10</v>
      </c>
      <c r="E16" s="1">
        <f t="shared" si="2"/>
        <v>80</v>
      </c>
      <c r="F16" s="1"/>
      <c r="I16" s="1">
        <v>20</v>
      </c>
      <c r="J16" s="1">
        <v>30</v>
      </c>
      <c r="K16" s="1">
        <f t="shared" si="3"/>
        <v>-10</v>
      </c>
      <c r="L16" s="1">
        <v>1</v>
      </c>
    </row>
    <row r="19" spans="1:12" x14ac:dyDescent="0.3">
      <c r="C19" s="1" t="s">
        <v>4</v>
      </c>
      <c r="D19" s="1" t="s">
        <v>7</v>
      </c>
      <c r="E19" s="1" t="s">
        <v>8</v>
      </c>
      <c r="F19" s="1" t="s">
        <v>9</v>
      </c>
      <c r="I19" s="1" t="s">
        <v>17</v>
      </c>
      <c r="J19" s="1" t="s">
        <v>14</v>
      </c>
      <c r="K19" s="1" t="s">
        <v>15</v>
      </c>
      <c r="L19" s="1" t="s">
        <v>16</v>
      </c>
    </row>
    <row r="20" spans="1:12" x14ac:dyDescent="0.3">
      <c r="A20" t="s">
        <v>12</v>
      </c>
      <c r="C20" s="1">
        <f>+E9</f>
        <v>-10</v>
      </c>
      <c r="D20" s="1">
        <v>1</v>
      </c>
      <c r="E20" s="1">
        <v>0</v>
      </c>
      <c r="F20" s="1">
        <v>0</v>
      </c>
      <c r="I20" s="1">
        <v>-20</v>
      </c>
      <c r="J20" s="1">
        <v>1</v>
      </c>
      <c r="K20" s="1">
        <v>0</v>
      </c>
      <c r="L20" s="1">
        <v>0</v>
      </c>
    </row>
    <row r="21" spans="1:12" x14ac:dyDescent="0.3">
      <c r="C21" s="1">
        <f t="shared" ref="C21:C27" si="4">+E10</f>
        <v>0</v>
      </c>
      <c r="D21" s="1">
        <v>0.5</v>
      </c>
      <c r="E21" s="1">
        <v>0.5</v>
      </c>
      <c r="F21" s="1">
        <v>0</v>
      </c>
      <c r="I21" s="1">
        <v>-10</v>
      </c>
      <c r="J21" s="1">
        <v>1</v>
      </c>
      <c r="K21" s="1">
        <v>0</v>
      </c>
      <c r="L21" s="1">
        <v>0</v>
      </c>
    </row>
    <row r="22" spans="1:12" x14ac:dyDescent="0.3">
      <c r="C22" s="1">
        <f t="shared" si="4"/>
        <v>10</v>
      </c>
      <c r="D22" s="1">
        <v>0</v>
      </c>
      <c r="E22" s="1">
        <v>1</v>
      </c>
      <c r="F22" s="1">
        <v>0</v>
      </c>
      <c r="I22" s="1">
        <v>-5</v>
      </c>
      <c r="J22" s="1">
        <v>0.5</v>
      </c>
      <c r="K22" s="1">
        <v>0.5</v>
      </c>
      <c r="L22" s="1">
        <v>0</v>
      </c>
    </row>
    <row r="23" spans="1:12" x14ac:dyDescent="0.3">
      <c r="C23" s="1">
        <f t="shared" si="4"/>
        <v>20</v>
      </c>
      <c r="D23" s="1">
        <v>0</v>
      </c>
      <c r="E23" s="1">
        <v>0.5</v>
      </c>
      <c r="F23" s="1">
        <v>0.5</v>
      </c>
      <c r="I23" s="1">
        <v>0</v>
      </c>
      <c r="J23" s="1">
        <v>0</v>
      </c>
      <c r="K23" s="1">
        <v>1</v>
      </c>
      <c r="L23" s="1">
        <v>0</v>
      </c>
    </row>
    <row r="24" spans="1:12" x14ac:dyDescent="0.3">
      <c r="C24" s="1">
        <f t="shared" si="4"/>
        <v>40</v>
      </c>
      <c r="D24" s="1">
        <v>0</v>
      </c>
      <c r="E24" s="1">
        <v>0</v>
      </c>
      <c r="F24" s="1">
        <v>1</v>
      </c>
      <c r="I24" s="1">
        <v>5</v>
      </c>
      <c r="J24" s="1">
        <v>0</v>
      </c>
      <c r="K24" s="1">
        <v>0.5</v>
      </c>
      <c r="L24" s="1">
        <v>0.5</v>
      </c>
    </row>
    <row r="25" spans="1:12" x14ac:dyDescent="0.3">
      <c r="C25" s="1">
        <f t="shared" si="4"/>
        <v>60</v>
      </c>
      <c r="D25" s="1">
        <v>0</v>
      </c>
      <c r="E25" s="1">
        <v>0</v>
      </c>
      <c r="F25" s="1">
        <v>1</v>
      </c>
      <c r="I25" s="1">
        <v>10</v>
      </c>
      <c r="J25" s="1">
        <v>0</v>
      </c>
      <c r="K25" s="1">
        <v>0</v>
      </c>
      <c r="L25" s="1">
        <v>1</v>
      </c>
    </row>
    <row r="26" spans="1:12" x14ac:dyDescent="0.3">
      <c r="C26" s="1">
        <f t="shared" si="4"/>
        <v>70</v>
      </c>
      <c r="D26" s="1">
        <v>0</v>
      </c>
      <c r="E26" s="1">
        <v>0</v>
      </c>
      <c r="F26" s="1">
        <v>1</v>
      </c>
      <c r="I26" s="1">
        <v>20</v>
      </c>
      <c r="J26" s="1">
        <v>0</v>
      </c>
      <c r="K26" s="1">
        <v>0</v>
      </c>
      <c r="L26" s="1">
        <v>1</v>
      </c>
    </row>
    <row r="27" spans="1:12" x14ac:dyDescent="0.3">
      <c r="C27" s="1">
        <f t="shared" si="4"/>
        <v>80</v>
      </c>
      <c r="D27" s="1">
        <v>0</v>
      </c>
      <c r="E27" s="1">
        <v>0</v>
      </c>
      <c r="F27" s="1">
        <v>1</v>
      </c>
    </row>
    <row r="29" spans="1:12" x14ac:dyDescent="0.3">
      <c r="C29" s="1" t="s">
        <v>10</v>
      </c>
      <c r="D29" s="1" t="s">
        <v>7</v>
      </c>
      <c r="E29" s="1" t="s">
        <v>8</v>
      </c>
      <c r="F29" s="1" t="s">
        <v>9</v>
      </c>
    </row>
    <row r="30" spans="1:12" x14ac:dyDescent="0.3">
      <c r="A30" t="s">
        <v>11</v>
      </c>
      <c r="C30" s="1">
        <v>100</v>
      </c>
      <c r="D30" s="1">
        <v>1</v>
      </c>
      <c r="E30" s="1">
        <v>0</v>
      </c>
      <c r="F30" s="1">
        <v>0</v>
      </c>
    </row>
    <row r="31" spans="1:12" x14ac:dyDescent="0.3">
      <c r="C31" s="1">
        <v>80</v>
      </c>
      <c r="D31" s="1">
        <v>0.5</v>
      </c>
      <c r="E31" s="1">
        <v>0.5</v>
      </c>
      <c r="F31" s="1">
        <v>0</v>
      </c>
    </row>
    <row r="32" spans="1:12" x14ac:dyDescent="0.3">
      <c r="C32" s="1">
        <f t="shared" ref="C32:C37" si="5">+K11</f>
        <v>60</v>
      </c>
      <c r="D32" s="1">
        <v>0</v>
      </c>
      <c r="E32" s="1">
        <v>1</v>
      </c>
      <c r="F32" s="1">
        <v>0</v>
      </c>
    </row>
    <row r="33" spans="3:7" x14ac:dyDescent="0.3">
      <c r="C33" s="1">
        <v>40</v>
      </c>
      <c r="D33" s="1">
        <v>0</v>
      </c>
      <c r="E33" s="1">
        <v>0.5</v>
      </c>
      <c r="F33" s="1">
        <v>0.5</v>
      </c>
    </row>
    <row r="34" spans="3:7" x14ac:dyDescent="0.3">
      <c r="C34" s="1">
        <v>20</v>
      </c>
      <c r="D34" s="1">
        <v>0</v>
      </c>
      <c r="E34" s="1">
        <v>0</v>
      </c>
      <c r="F34" s="1">
        <v>1</v>
      </c>
    </row>
    <row r="35" spans="3:7" x14ac:dyDescent="0.3">
      <c r="C35" s="1">
        <v>10</v>
      </c>
      <c r="D35" s="1">
        <v>0</v>
      </c>
      <c r="E35" s="1">
        <v>0</v>
      </c>
      <c r="F35" s="1">
        <v>1</v>
      </c>
    </row>
    <row r="36" spans="3:7" x14ac:dyDescent="0.3">
      <c r="C36" s="1">
        <f t="shared" si="5"/>
        <v>0</v>
      </c>
      <c r="D36" s="1">
        <v>0</v>
      </c>
      <c r="E36" s="1">
        <v>0</v>
      </c>
      <c r="F36" s="1">
        <v>1</v>
      </c>
    </row>
    <row r="37" spans="3:7" x14ac:dyDescent="0.3">
      <c r="C37" s="1">
        <f t="shared" si="5"/>
        <v>-10</v>
      </c>
      <c r="D37" s="1">
        <v>0</v>
      </c>
      <c r="E37" s="1">
        <v>0</v>
      </c>
      <c r="F37" s="1">
        <v>1</v>
      </c>
    </row>
    <row r="42" spans="3:7" x14ac:dyDescent="0.3">
      <c r="C42" t="s">
        <v>18</v>
      </c>
    </row>
    <row r="46" spans="3:7" x14ac:dyDescent="0.3">
      <c r="C46" s="1" t="s">
        <v>23</v>
      </c>
      <c r="D46" s="1" t="s">
        <v>19</v>
      </c>
      <c r="E46" s="1" t="s">
        <v>20</v>
      </c>
      <c r="F46" s="1" t="s">
        <v>21</v>
      </c>
      <c r="G46" s="1" t="s">
        <v>22</v>
      </c>
    </row>
    <row r="47" spans="3:7" x14ac:dyDescent="0.3">
      <c r="C47" s="1">
        <v>1</v>
      </c>
      <c r="D47" s="1">
        <v>50</v>
      </c>
      <c r="E47" s="1">
        <v>25</v>
      </c>
      <c r="F47" s="1">
        <v>-25</v>
      </c>
      <c r="G47" s="1">
        <v>-50</v>
      </c>
    </row>
    <row r="48" spans="3:7" x14ac:dyDescent="0.3">
      <c r="C48" s="1">
        <v>0.5</v>
      </c>
      <c r="D48" s="1">
        <v>25</v>
      </c>
      <c r="E48" s="1">
        <v>10</v>
      </c>
      <c r="F48" s="1">
        <v>-10</v>
      </c>
      <c r="G48" s="1">
        <v>-25</v>
      </c>
    </row>
    <row r="49" spans="3:7" x14ac:dyDescent="0.3">
      <c r="C49" s="1">
        <v>0</v>
      </c>
      <c r="D49" s="1">
        <v>0</v>
      </c>
      <c r="E49" s="1">
        <v>0</v>
      </c>
      <c r="F49" s="1">
        <v>0</v>
      </c>
      <c r="G49" s="1">
        <v>0</v>
      </c>
    </row>
    <row r="51" spans="3:7" x14ac:dyDescent="0.3">
      <c r="E51" t="s">
        <v>24</v>
      </c>
    </row>
    <row r="52" spans="3:7" x14ac:dyDescent="0.3">
      <c r="E52">
        <v>80</v>
      </c>
      <c r="F52">
        <v>70</v>
      </c>
      <c r="G52">
        <v>10</v>
      </c>
    </row>
    <row r="53" spans="3:7" x14ac:dyDescent="0.3">
      <c r="C53">
        <v>0.7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2025-11-19T13:48:50Z</dcterms:created>
  <dcterms:modified xsi:type="dcterms:W3CDTF">2025-11-21T20:34:30Z</dcterms:modified>
</cp:coreProperties>
</file>